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 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<sst xmlns="http://schemas.openxmlformats.org/spreadsheetml/2006/main" count="13" uniqueCount="13">
  <si>
    <t xml:space="preserve">STU Sample Submission Sheet</t>
  </si>
  <si>
    <t xml:space="preserve">Enter your iLabs Request ID below. STU Sample IDs auto-generate as you fill in each row. Save this file as "Sample_Sheet_STU-XXX-123" (using your iLabs ID) and upload it to your intake form submission.</t>
  </si>
  <si>
    <t xml:space="preserve">iLabs Request ID:</t>
  </si>
  <si>
    <t xml:space="preserve">STU-XXX-123</t>
  </si>
  <si>
    <t xml:space="preserve">← Replace with your iLabs ID (format: STU-INITIALS-NUMBER)</t>
  </si>
  <si>
    <t xml:space="preserve">#</t>
  </si>
  <si>
    <t xml:space="preserve">STU Sample ID (auto)</t>
  </si>
  <si>
    <t xml:space="preserve">Client Sample ID</t>
  </si>
  <si>
    <t xml:space="preserve">Sample Type</t>
  </si>
  <si>
    <t xml:space="preserve">Species / Tissue</t>
  </si>
  <si>
    <t xml:space="preserve"># Sections / Aliquots</t>
  </si>
  <si>
    <t xml:space="preserve">Notes / Special Requests</t>
  </si>
  <si>
    <t xml:space="preserve">STU Sample ID format: &lt;client initials&gt;-&lt;number&gt;_&lt;row&gt;  (e.g. STU-XXX-123 → XXX-123_1, XXX-123_2, …)   ·   Client Sample ID = your own original sample name   ·   Questions: stu@bidmc.harvard.edu</t>
  </si>
</sst>
</file>

<file path=xl/styles.xml><?xml version="1.0" encoding="utf-8"?>
<styleSheet xmlns="http://schemas.openxmlformats.org/spreadsheetml/2006/main">
  <numFmts count="1">
    <numFmt numFmtId="164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9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1"/>
      <color rgb="FF1F4E79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9"/>
      <color rgb="FF555555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1F4E79"/>
        <bgColor rgb="FF003366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AAAAAA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20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3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  <c r="B4" s="4" t="s">
        <v>3</v>
      </c>
      <c r="C4" s="4"/>
      <c r="D4" s="5" t="s">
        <v>4</v>
      </c>
      <c r="E4" s="5"/>
      <c r="F4" s="5"/>
      <c r="G4" s="5"/>
    </row>
    <row r="6" customFormat="false" ht="30" hidden="false" customHeight="true" outlineLevel="0" collapsed="false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</row>
    <row r="7" customFormat="false" ht="15" hidden="false" customHeight="false" outlineLevel="0" collapsed="false">
      <c r="A7" s="7" t="n">
        <v>1</v>
      </c>
      <c r="B7" s="8" t="str">
        <f aca="false">IF($B$4="","",SUBSTITUTE($B$4,"STU-","")&amp;"_"&amp;1)</f>
        <v>XXX-123_1</v>
      </c>
      <c r="C7" s="9"/>
      <c r="D7" s="9"/>
      <c r="E7" s="9"/>
      <c r="F7" s="9"/>
      <c r="G7" s="9"/>
    </row>
    <row r="8" customFormat="false" ht="15" hidden="false" customHeight="false" outlineLevel="0" collapsed="false">
      <c r="A8" s="10" t="n">
        <v>2</v>
      </c>
      <c r="B8" s="11" t="str">
        <f aca="false">IF($B$4="","",SUBSTITUTE($B$4,"STU-","")&amp;"_"&amp;2)</f>
        <v>XXX-123_2</v>
      </c>
      <c r="C8" s="12"/>
      <c r="D8" s="12"/>
      <c r="E8" s="12"/>
      <c r="F8" s="12"/>
      <c r="G8" s="12"/>
    </row>
    <row r="9" customFormat="false" ht="15" hidden="false" customHeight="false" outlineLevel="0" collapsed="false">
      <c r="A9" s="7" t="n">
        <v>3</v>
      </c>
      <c r="B9" s="8" t="str">
        <f aca="false">IF($B$4="","",SUBSTITUTE($B$4,"STU-","")&amp;"_"&amp;3)</f>
        <v>XXX-123_3</v>
      </c>
      <c r="C9" s="9"/>
      <c r="D9" s="9"/>
      <c r="E9" s="9"/>
      <c r="F9" s="9"/>
      <c r="G9" s="9"/>
    </row>
    <row r="10" customFormat="false" ht="15" hidden="false" customHeight="false" outlineLevel="0" collapsed="false">
      <c r="A10" s="10" t="n">
        <v>4</v>
      </c>
      <c r="B10" s="11" t="str">
        <f aca="false">IF($B$4="","",SUBSTITUTE($B$4,"STU-","")&amp;"_"&amp;4)</f>
        <v>XXX-123_4</v>
      </c>
      <c r="C10" s="12"/>
      <c r="D10" s="12"/>
      <c r="E10" s="12"/>
      <c r="F10" s="12"/>
      <c r="G10" s="12"/>
    </row>
    <row r="11" customFormat="false" ht="15" hidden="false" customHeight="false" outlineLevel="0" collapsed="false">
      <c r="A11" s="7" t="n">
        <v>5</v>
      </c>
      <c r="B11" s="8" t="str">
        <f aca="false">IF($B$4="","",SUBSTITUTE($B$4,"STU-","")&amp;"_"&amp;5)</f>
        <v>XXX-123_5</v>
      </c>
      <c r="C11" s="9"/>
      <c r="D11" s="9"/>
      <c r="E11" s="9"/>
      <c r="F11" s="9"/>
      <c r="G11" s="9"/>
    </row>
    <row r="12" customFormat="false" ht="15" hidden="false" customHeight="false" outlineLevel="0" collapsed="false">
      <c r="A12" s="10" t="n">
        <v>6</v>
      </c>
      <c r="B12" s="11" t="str">
        <f aca="false">IF($B$4="","",SUBSTITUTE($B$4,"STU-","")&amp;"_"&amp;6)</f>
        <v>XXX-123_6</v>
      </c>
      <c r="C12" s="12"/>
      <c r="D12" s="12"/>
      <c r="E12" s="12"/>
      <c r="F12" s="12"/>
      <c r="G12" s="12"/>
    </row>
    <row r="13" customFormat="false" ht="15" hidden="false" customHeight="false" outlineLevel="0" collapsed="false">
      <c r="A13" s="7" t="n">
        <v>7</v>
      </c>
      <c r="B13" s="8" t="str">
        <f aca="false">IF($B$4="","",SUBSTITUTE($B$4,"STU-","")&amp;"_"&amp;7)</f>
        <v>XXX-123_7</v>
      </c>
      <c r="C13" s="9"/>
      <c r="D13" s="9"/>
      <c r="E13" s="9"/>
      <c r="F13" s="9"/>
      <c r="G13" s="9"/>
    </row>
    <row r="14" customFormat="false" ht="15" hidden="false" customHeight="false" outlineLevel="0" collapsed="false">
      <c r="A14" s="10" t="n">
        <v>8</v>
      </c>
      <c r="B14" s="11" t="str">
        <f aca="false">IF($B$4="","",SUBSTITUTE($B$4,"STU-","")&amp;"_"&amp;8)</f>
        <v>XXX-123_8</v>
      </c>
      <c r="C14" s="12"/>
      <c r="D14" s="12"/>
      <c r="E14" s="12"/>
      <c r="F14" s="12"/>
      <c r="G14" s="12"/>
    </row>
    <row r="15" customFormat="false" ht="15" hidden="false" customHeight="false" outlineLevel="0" collapsed="false">
      <c r="A15" s="7" t="n">
        <v>9</v>
      </c>
      <c r="B15" s="8" t="str">
        <f aca="false">IF($B$4="","",SUBSTITUTE($B$4,"STU-","")&amp;"_"&amp;9)</f>
        <v>XXX-123_9</v>
      </c>
      <c r="C15" s="9"/>
      <c r="D15" s="9"/>
      <c r="E15" s="9"/>
      <c r="F15" s="9"/>
      <c r="G15" s="9"/>
    </row>
    <row r="16" customFormat="false" ht="15" hidden="false" customHeight="false" outlineLevel="0" collapsed="false">
      <c r="A16" s="10" t="n">
        <v>10</v>
      </c>
      <c r="B16" s="11" t="str">
        <f aca="false">IF($B$4="","",SUBSTITUTE($B$4,"STU-","")&amp;"_"&amp;10)</f>
        <v>XXX-123_10</v>
      </c>
      <c r="C16" s="12"/>
      <c r="D16" s="12"/>
      <c r="E16" s="12"/>
      <c r="F16" s="12"/>
      <c r="G16" s="12"/>
    </row>
    <row r="17" customFormat="false" ht="15" hidden="false" customHeight="false" outlineLevel="0" collapsed="false">
      <c r="A17" s="7" t="n">
        <v>11</v>
      </c>
      <c r="B17" s="8" t="str">
        <f aca="false">IF($B$4="","",SUBSTITUTE($B$4,"STU-","")&amp;"_"&amp;11)</f>
        <v>XXX-123_11</v>
      </c>
      <c r="C17" s="9"/>
      <c r="D17" s="9"/>
      <c r="E17" s="9"/>
      <c r="F17" s="9"/>
      <c r="G17" s="9"/>
    </row>
    <row r="18" customFormat="false" ht="15" hidden="false" customHeight="false" outlineLevel="0" collapsed="false">
      <c r="A18" s="10" t="n">
        <v>12</v>
      </c>
      <c r="B18" s="11" t="str">
        <f aca="false">IF($B$4="","",SUBSTITUTE($B$4,"STU-","")&amp;"_"&amp;12)</f>
        <v>XXX-123_12</v>
      </c>
      <c r="C18" s="12"/>
      <c r="D18" s="12"/>
      <c r="E18" s="12"/>
      <c r="F18" s="12"/>
      <c r="G18" s="12"/>
    </row>
    <row r="19" customFormat="false" ht="15" hidden="false" customHeight="false" outlineLevel="0" collapsed="false">
      <c r="A19" s="7" t="n">
        <v>13</v>
      </c>
      <c r="B19" s="8" t="str">
        <f aca="false">IF($B$4="","",SUBSTITUTE($B$4,"STU-","")&amp;"_"&amp;13)</f>
        <v>XXX-123_13</v>
      </c>
      <c r="C19" s="9"/>
      <c r="D19" s="9"/>
      <c r="E19" s="9"/>
      <c r="F19" s="9"/>
      <c r="G19" s="9"/>
    </row>
    <row r="20" customFormat="false" ht="15" hidden="false" customHeight="false" outlineLevel="0" collapsed="false">
      <c r="A20" s="10" t="n">
        <v>14</v>
      </c>
      <c r="B20" s="11" t="str">
        <f aca="false">IF($B$4="","",SUBSTITUTE($B$4,"STU-","")&amp;"_"&amp;14)</f>
        <v>XXX-123_14</v>
      </c>
      <c r="C20" s="12"/>
      <c r="D20" s="12"/>
      <c r="E20" s="12"/>
      <c r="F20" s="12"/>
      <c r="G20" s="12"/>
    </row>
    <row r="21" customFormat="false" ht="15" hidden="false" customHeight="false" outlineLevel="0" collapsed="false">
      <c r="A21" s="7" t="n">
        <v>15</v>
      </c>
      <c r="B21" s="8" t="str">
        <f aca="false">IF($B$4="","",SUBSTITUTE($B$4,"STU-","")&amp;"_"&amp;15)</f>
        <v>XXX-123_15</v>
      </c>
      <c r="C21" s="9"/>
      <c r="D21" s="9"/>
      <c r="E21" s="9"/>
      <c r="F21" s="9"/>
      <c r="G21" s="9"/>
    </row>
    <row r="22" customFormat="false" ht="15" hidden="false" customHeight="false" outlineLevel="0" collapsed="false">
      <c r="A22" s="10" t="n">
        <v>16</v>
      </c>
      <c r="B22" s="11" t="str">
        <f aca="false">IF($B$4="","",SUBSTITUTE($B$4,"STU-","")&amp;"_"&amp;16)</f>
        <v>XXX-123_16</v>
      </c>
      <c r="C22" s="12"/>
      <c r="D22" s="12"/>
      <c r="E22" s="12"/>
      <c r="F22" s="12"/>
      <c r="G22" s="12"/>
    </row>
    <row r="23" customFormat="false" ht="15" hidden="false" customHeight="false" outlineLevel="0" collapsed="false">
      <c r="A23" s="7" t="n">
        <v>17</v>
      </c>
      <c r="B23" s="8" t="str">
        <f aca="false">IF($B$4="","",SUBSTITUTE($B$4,"STU-","")&amp;"_"&amp;17)</f>
        <v>XXX-123_17</v>
      </c>
      <c r="C23" s="9"/>
      <c r="D23" s="9"/>
      <c r="E23" s="9"/>
      <c r="F23" s="9"/>
      <c r="G23" s="9"/>
    </row>
    <row r="24" customFormat="false" ht="15" hidden="false" customHeight="false" outlineLevel="0" collapsed="false">
      <c r="A24" s="10" t="n">
        <v>18</v>
      </c>
      <c r="B24" s="11" t="str">
        <f aca="false">IF($B$4="","",SUBSTITUTE($B$4,"STU-","")&amp;"_"&amp;18)</f>
        <v>XXX-123_18</v>
      </c>
      <c r="C24" s="12"/>
      <c r="D24" s="12"/>
      <c r="E24" s="12"/>
      <c r="F24" s="12"/>
      <c r="G24" s="12"/>
    </row>
    <row r="25" customFormat="false" ht="15" hidden="false" customHeight="false" outlineLevel="0" collapsed="false">
      <c r="A25" s="7" t="n">
        <v>19</v>
      </c>
      <c r="B25" s="8" t="str">
        <f aca="false">IF($B$4="","",SUBSTITUTE($B$4,"STU-","")&amp;"_"&amp;19)</f>
        <v>XXX-123_19</v>
      </c>
      <c r="C25" s="9"/>
      <c r="D25" s="9"/>
      <c r="E25" s="9"/>
      <c r="F25" s="9"/>
      <c r="G25" s="9"/>
    </row>
    <row r="26" customFormat="false" ht="15" hidden="false" customHeight="false" outlineLevel="0" collapsed="false">
      <c r="A26" s="10" t="n">
        <v>20</v>
      </c>
      <c r="B26" s="11" t="str">
        <f aca="false">IF($B$4="","",SUBSTITUTE($B$4,"STU-","")&amp;"_"&amp;20)</f>
        <v>XXX-123_20</v>
      </c>
      <c r="C26" s="12"/>
      <c r="D26" s="12"/>
      <c r="E26" s="12"/>
      <c r="F26" s="12"/>
      <c r="G26" s="12"/>
    </row>
    <row r="27" customFormat="false" ht="15" hidden="false" customHeight="false" outlineLevel="0" collapsed="false">
      <c r="A27" s="7" t="n">
        <v>21</v>
      </c>
      <c r="B27" s="8" t="str">
        <f aca="false">IF($B$4="","",SUBSTITUTE($B$4,"STU-","")&amp;"_"&amp;21)</f>
        <v>XXX-123_21</v>
      </c>
      <c r="C27" s="9"/>
      <c r="D27" s="9"/>
      <c r="E27" s="9"/>
      <c r="F27" s="9"/>
      <c r="G27" s="9"/>
    </row>
    <row r="28" customFormat="false" ht="15" hidden="false" customHeight="false" outlineLevel="0" collapsed="false">
      <c r="A28" s="10" t="n">
        <v>22</v>
      </c>
      <c r="B28" s="11" t="str">
        <f aca="false">IF($B$4="","",SUBSTITUTE($B$4,"STU-","")&amp;"_"&amp;22)</f>
        <v>XXX-123_22</v>
      </c>
      <c r="C28" s="12"/>
      <c r="D28" s="12"/>
      <c r="E28" s="12"/>
      <c r="F28" s="12"/>
      <c r="G28" s="12"/>
    </row>
    <row r="29" customFormat="false" ht="15" hidden="false" customHeight="false" outlineLevel="0" collapsed="false">
      <c r="A29" s="7" t="n">
        <v>23</v>
      </c>
      <c r="B29" s="8" t="str">
        <f aca="false">IF($B$4="","",SUBSTITUTE($B$4,"STU-","")&amp;"_"&amp;23)</f>
        <v>XXX-123_23</v>
      </c>
      <c r="C29" s="9"/>
      <c r="D29" s="9"/>
      <c r="E29" s="9"/>
      <c r="F29" s="9"/>
      <c r="G29" s="9"/>
    </row>
    <row r="30" customFormat="false" ht="15" hidden="false" customHeight="false" outlineLevel="0" collapsed="false">
      <c r="A30" s="10" t="n">
        <v>24</v>
      </c>
      <c r="B30" s="11" t="str">
        <f aca="false">IF($B$4="","",SUBSTITUTE($B$4,"STU-","")&amp;"_"&amp;24)</f>
        <v>XXX-123_24</v>
      </c>
      <c r="C30" s="12"/>
      <c r="D30" s="12"/>
      <c r="E30" s="12"/>
      <c r="F30" s="12"/>
      <c r="G30" s="12"/>
    </row>
    <row r="32" customFormat="false" ht="15" hidden="false" customHeight="false" outlineLevel="0" collapsed="false">
      <c r="A32" s="13" t="s">
        <v>12</v>
      </c>
      <c r="B32" s="13"/>
      <c r="C32" s="13"/>
      <c r="D32" s="13"/>
      <c r="E32" s="13"/>
      <c r="F32" s="13"/>
      <c r="G32" s="13"/>
    </row>
  </sheetData>
  <mergeCells count="5">
    <mergeCell ref="A1:G1"/>
    <mergeCell ref="A2:G2"/>
    <mergeCell ref="B4:C4"/>
    <mergeCell ref="D4:G4"/>
    <mergeCell ref="A32:G32"/>
  </mergeCells>
  <dataValidations count="1">
    <dataValidation allowBlank="true" errorStyle="stop" operator="between" showDropDown="false" showErrorMessage="false" showInputMessage="false" sqref="D7:D30" type="list">
      <formula1>"FFPE Block,OCT Block,Frozen Section,Tube (fresh/frozen),Dissociated Cells,Other"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2026-06-25T14:06:39Z</dcterms:created>
  <dc:creator>openpyxl</dc:creator>
  <dc:description/>
  <dc:language>en-US</dc:language>
  <cp:lastModifiedBy/>
  <dcterms:modified xsi:type="dcterms:W3CDTF">2026-06-25T14:06:39Z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